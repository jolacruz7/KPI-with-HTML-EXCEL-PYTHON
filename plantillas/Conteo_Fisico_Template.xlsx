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fafa675bda2b516/Documentos/Proyecto Mullerk/"/>
    </mc:Choice>
  </mc:AlternateContent>
  <xr:revisionPtr revIDLastSave="1" documentId="11_8AC3F814C92F6614D7D529EEFDFE19F7671C85E6" xr6:coauthVersionLast="47" xr6:coauthVersionMax="47" xr10:uidLastSave="{C36BEC6B-AD3F-47D9-ADA7-381D65A8BD3C}"/>
  <bookViews>
    <workbookView xWindow="-120" yWindow="-120" windowWidth="29040" windowHeight="15720" tabRatio="500" xr2:uid="{00000000-000D-0000-FFFF-FFFF00000000}"/>
  </bookViews>
  <sheets>
    <sheet name="Conteo Físico" sheetId="1" r:id="rId1"/>
  </sheets>
  <definedNames>
    <definedName name="_xlnm.Print_Titles" localSheetId="0">'Conteo Físico'!$1:$4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5" i="1" l="1"/>
  <c r="F28" i="1"/>
  <c r="E68" i="1" l="1"/>
  <c r="F68" i="1" s="1"/>
  <c r="D68" i="1"/>
  <c r="F67" i="1"/>
  <c r="F66" i="1"/>
  <c r="F63" i="1"/>
  <c r="F62" i="1"/>
  <c r="F61" i="1"/>
  <c r="F60" i="1"/>
  <c r="F59" i="1"/>
  <c r="F58" i="1"/>
  <c r="F57" i="1"/>
  <c r="F56" i="1"/>
  <c r="F55" i="1"/>
  <c r="F54" i="1"/>
  <c r="F53" i="1"/>
  <c r="F52" i="1"/>
  <c r="F50" i="1"/>
  <c r="F49" i="1"/>
  <c r="F47" i="1"/>
  <c r="F46" i="1"/>
  <c r="F45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<sst xmlns="http://schemas.openxmlformats.org/spreadsheetml/2006/main" count="186" uniqueCount="137">
  <si>
    <t>CONTEO FÍSICO DE INVENTARIO — MULLERK FL</t>
  </si>
  <si>
    <t>Multisuministros Tambotorca  ·  Fecha de conteo: ___/___/2026  ·  Responsable: _______________________</t>
  </si>
  <si>
    <t>CÓDIGO</t>
  </si>
  <si>
    <t>DESCRIPCIÓN</t>
  </si>
  <si>
    <t>CATEGORÍA</t>
  </si>
  <si>
    <t>STOCK SISTEMA
(unidades)</t>
  </si>
  <si>
    <t>CONTEO FÍSICO
(unidades)</t>
  </si>
  <si>
    <t>DIFERENCIA</t>
  </si>
  <si>
    <t>OBSERVACIONES</t>
  </si>
  <si>
    <t>▸  ABRAZADERAS ACERO INOX.</t>
  </si>
  <si>
    <t>MK-A3504</t>
  </si>
  <si>
    <t>Abrazadera Acero Inoxidable 1/2"</t>
  </si>
  <si>
    <t>Abrazaderas Acero Inox.</t>
  </si>
  <si>
    <t>MK-A3506</t>
  </si>
  <si>
    <t>Abrazadera Acero Inoxidable 5/8"</t>
  </si>
  <si>
    <t>MK-A62008</t>
  </si>
  <si>
    <t>Abrazadera Acero Inoxidable 3/4"</t>
  </si>
  <si>
    <t>MK-A62010</t>
  </si>
  <si>
    <t>Abrazadera Acero Inoxidable 7/8"</t>
  </si>
  <si>
    <t>MK-A62012</t>
  </si>
  <si>
    <t>Abrazadera Acero Inoxidable 1"</t>
  </si>
  <si>
    <t>MK-A62016</t>
  </si>
  <si>
    <t>Abrazadera Acero Inoxidable 1 1/4"</t>
  </si>
  <si>
    <t>MK-A62020</t>
  </si>
  <si>
    <t>Abrazadera Acero Inoxidable 1 1/2"</t>
  </si>
  <si>
    <t>MK-A62024</t>
  </si>
  <si>
    <t>Abrazadera Acero Inoxidable 1 3/4"</t>
  </si>
  <si>
    <t>MK-A62028</t>
  </si>
  <si>
    <t>Abrazadera Acero Inoxidable 2"</t>
  </si>
  <si>
    <t>MK-A62032</t>
  </si>
  <si>
    <t>Abrazadera Acero Inoxidable 2 1/4"</t>
  </si>
  <si>
    <t>MK-A62036</t>
  </si>
  <si>
    <t>Abrazadera Acero Inoxidable 2 1/2"</t>
  </si>
  <si>
    <t>MK-A62040</t>
  </si>
  <si>
    <t>Abrazadera Acero Inoxidable 2 3/4"</t>
  </si>
  <si>
    <t>MK-A62044</t>
  </si>
  <si>
    <t>Abrazadera Acero Inoxidable 3"</t>
  </si>
  <si>
    <t>MK-A62048</t>
  </si>
  <si>
    <t>Abrazadera Acero Inoxidable 3 1/4"</t>
  </si>
  <si>
    <t>MK-A62052</t>
  </si>
  <si>
    <t>Abrazadera Acero Inoxidable 3 1/2"</t>
  </si>
  <si>
    <t>MK-A62056</t>
  </si>
  <si>
    <t>Abrazadera Acero Inoxidable 4"</t>
  </si>
  <si>
    <t>▸  ABRAZADERAS EMT</t>
  </si>
  <si>
    <t>MK-EMT-STR-1</t>
  </si>
  <si>
    <t>Abrazadera EMT de una pata (3/4")</t>
  </si>
  <si>
    <t>Abrazaderas EMT</t>
  </si>
  <si>
    <t>MK-EMT-STR-2</t>
  </si>
  <si>
    <t>Abrazadera EMT de una pata (1")</t>
  </si>
  <si>
    <t>MK-EMT-STR-3</t>
  </si>
  <si>
    <t>Abrazadera EMT de dos patas (3/4")</t>
  </si>
  <si>
    <t>MK-EMT-STR-4</t>
  </si>
  <si>
    <t>Abrazadera EMT de dos patas (1")</t>
  </si>
  <si>
    <t>▸  ABRAZADERAS GALVANIZADAS</t>
  </si>
  <si>
    <t>MK-G3504</t>
  </si>
  <si>
    <t>Abrazadera Galvanizada 1/2"</t>
  </si>
  <si>
    <t>Abrazaderas Galvanizadas</t>
  </si>
  <si>
    <t>MK-G3506</t>
  </si>
  <si>
    <t>Abrazadera Galvanizada 5/8"</t>
  </si>
  <si>
    <t>MK-G62008</t>
  </si>
  <si>
    <t>Abrazadera Galvanizada 3/4"</t>
  </si>
  <si>
    <t>MK-G62010</t>
  </si>
  <si>
    <t>Abrazadera Galvanizada 7/8"</t>
  </si>
  <si>
    <t>MK-G62012</t>
  </si>
  <si>
    <t>Abrazadera Galvanizada 1"</t>
  </si>
  <si>
    <t>MK-G62016</t>
  </si>
  <si>
    <t>Abrazadera Galvanizada 1 1/4"</t>
  </si>
  <si>
    <t>MK-G62020</t>
  </si>
  <si>
    <t>Abrazadera Galvanizada 1 1/2"</t>
  </si>
  <si>
    <t>MK-G62024</t>
  </si>
  <si>
    <t>Abrazadera Galvanizada 1 3/4"</t>
  </si>
  <si>
    <t>MK-G62028</t>
  </si>
  <si>
    <t>Abrazadera Galvanizada 2"</t>
  </si>
  <si>
    <t>MK-G62032</t>
  </si>
  <si>
    <t>Abrazadera Galvanizada 2 1/4"</t>
  </si>
  <si>
    <t>MK-G62036</t>
  </si>
  <si>
    <t>Abrazadera Galvanizada 2 1/2"</t>
  </si>
  <si>
    <t>MK-G62040</t>
  </si>
  <si>
    <t>Abrazadera Galvanizada 2 3/4"</t>
  </si>
  <si>
    <t>MK-G62044</t>
  </si>
  <si>
    <t>Abrazadera Galvanizada 3"</t>
  </si>
  <si>
    <t>MK-G62048</t>
  </si>
  <si>
    <t>Abrazadera Galvanizada 3 1/4"</t>
  </si>
  <si>
    <t>MK-G62052</t>
  </si>
  <si>
    <t>Abrazadera Galvanizada 3 1/2"</t>
  </si>
  <si>
    <t>MK-G62056</t>
  </si>
  <si>
    <t>Abrazadera Galvanizada 4"</t>
  </si>
  <si>
    <t>▸  CAJETINES</t>
  </si>
  <si>
    <t>MK-CAJ-C-4X4</t>
  </si>
  <si>
    <t>Cajetin plástico cuadrado 4X4"</t>
  </si>
  <si>
    <t>Cajetines</t>
  </si>
  <si>
    <t>MK-CAJ-O-4X4</t>
  </si>
  <si>
    <t>Cajetin plástico octogonal 4X4"</t>
  </si>
  <si>
    <t>MK-CAJ-R-2X4</t>
  </si>
  <si>
    <t>Cajetin plástico rectangular 2X4"</t>
  </si>
  <si>
    <t>▸  CINTAS MÉTRICAS</t>
  </si>
  <si>
    <t>MK-MET-001</t>
  </si>
  <si>
    <t>Cinta métrica automática - 5 mts</t>
  </si>
  <si>
    <t>Cintas métricas</t>
  </si>
  <si>
    <t>MK-MET-002</t>
  </si>
  <si>
    <t>Cinta métrica automática - 7.5 mts</t>
  </si>
  <si>
    <t>▸  TIE WRAP</t>
  </si>
  <si>
    <t>MK-TW-3X200B</t>
  </si>
  <si>
    <t>Tie Wrap 3 mm x 200 mm (BLANCO)</t>
  </si>
  <si>
    <t>Tie Wrap</t>
  </si>
  <si>
    <t>MK-TW-3X200N</t>
  </si>
  <si>
    <t>Tie Wrap 3 mm x 200 mm (NEGRO)</t>
  </si>
  <si>
    <t>MK-TW-4X150B</t>
  </si>
  <si>
    <t>Tie Wrap Negro 4 mm x 150 mm (BLANCO)</t>
  </si>
  <si>
    <t>MK-TW-4X150N</t>
  </si>
  <si>
    <t>Tie Wrap Negro 4 mm x 150 mm (NEGRO)</t>
  </si>
  <si>
    <t>MK-TW-4X200B</t>
  </si>
  <si>
    <t>Tie Wrap Negro 4 mm x 200 mm (BLANCO)</t>
  </si>
  <si>
    <t>MK-TW-4X200N</t>
  </si>
  <si>
    <t>Tie Wrap Negro 4 mm x 200 mm (NEGRO)</t>
  </si>
  <si>
    <t>MK-TW-5X200B</t>
  </si>
  <si>
    <t>Tie Wrap Negro 5 mm x 200 mm (BLANCO)</t>
  </si>
  <si>
    <t>MK-TW-5X200N</t>
  </si>
  <si>
    <t>Tie Wrap Negro 5 mm x 200 mm (NEGRO)</t>
  </si>
  <si>
    <t>MK-TW-5X250B</t>
  </si>
  <si>
    <t>Tie Wrap Negro 5 mm x 250 mm (BLANCO)</t>
  </si>
  <si>
    <t>MK-TW-5X250N</t>
  </si>
  <si>
    <t>Tie Wrap Negro 5 mm x 250 mm (NEGRO)</t>
  </si>
  <si>
    <t>MK-TW-5X300B</t>
  </si>
  <si>
    <t>Tie Wrap Negro 5 mm x 300 mm (BLANCO)</t>
  </si>
  <si>
    <t>MK-TW-5X300N</t>
  </si>
  <si>
    <t>Tie Wrap Negro 5 mm x 300 mm (NEGRO)</t>
  </si>
  <si>
    <t>▸  TUBERÍAS UPVC</t>
  </si>
  <si>
    <t>MK-UPVC-20</t>
  </si>
  <si>
    <t>Manguera PVC Corrugado 1/2" - Rollo de 50 mts</t>
  </si>
  <si>
    <t>Tuberías UPVC</t>
  </si>
  <si>
    <t>MK-UPVC-25</t>
  </si>
  <si>
    <t>Manguera PVC Corrugado 3/4" - Rollo de 50 mts</t>
  </si>
  <si>
    <t>MK-UPVC-32</t>
  </si>
  <si>
    <t>Manguera PVC Corrugado 1" - Rollo de 50 mts</t>
  </si>
  <si>
    <t>TOTAL PRODUCTOS: 56</t>
  </si>
  <si>
    <t>INSTRUCCIONES: Ingresar en la columna amarilla (E) la cantidad física contada. La columna verde (F) calculará automáticamente la diferencia vs. sistema. Usar OBSERVACIONES para anotar daños, discrepancias o novedades.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</si>
</sst>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\-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9"/>
      <color rgb="FFFFFFFF"/>
      <name val="Arial"/>
      <charset val="1"/>
    </font>
    <font>
      <b/>
      <sz val="8.5"/>
      <color rgb="FF1A4A8A"/>
      <name val="Arial"/>
      <charset val="1"/>
    </font>
    <font>
      <b/>
      <sz val="9"/>
      <color rgb="FF1A4A8A"/>
      <name val="Arial"/>
      <charset val="1"/>
    </font>
    <font>
      <sz val="9"/>
      <color rgb="FF1A1A1A"/>
      <name val="Arial"/>
      <charset val="1"/>
    </font>
    <font>
      <b/>
      <sz val="9"/>
      <name val="Arial"/>
      <charset val="1"/>
    </font>
    <font>
      <i/>
      <sz val="8.5"/>
      <color rgb="FF555555"/>
      <name val="Arial"/>
      <charset val="1"/>
    </font>
    <font>
      <i/>
      <sz val="8"/>
      <color rgb="FF555555"/>
      <name val="Arial"/>
      <charset val="1"/>
    </font>
    <font>
      <sz val="8.5"/>
      <name val="Arial"/>
      <family val="2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2B55"/>
        <bgColor rgb="FF1A1A1A"/>
      </patternFill>
    </fill>
    <fill>
      <patternFill patternType="solid">
        <fgColor rgb="FFD6E4F0"/>
        <bgColor rgb="FFE8F5E9"/>
      </patternFill>
    </fill>
    <fill>
      <patternFill patternType="solid">
        <fgColor rgb="FF1A4A8A"/>
        <bgColor rgb="FF0D2B55"/>
      </patternFill>
    </fill>
    <fill>
      <patternFill patternType="solid">
        <fgColor rgb="FFF5F8FB"/>
        <bgColor rgb="FFF0F4F8"/>
      </patternFill>
    </fill>
    <fill>
      <patternFill patternType="solid">
        <fgColor rgb="FFF0F4F8"/>
        <bgColor rgb="FFF5F8FB"/>
      </patternFill>
    </fill>
    <fill>
      <patternFill patternType="solid">
        <fgColor rgb="FFFFFFFF"/>
        <bgColor rgb="FFF5F8FB"/>
      </patternFill>
    </fill>
    <fill>
      <patternFill patternType="solid">
        <fgColor rgb="FFF8EEA2"/>
        <bgColor rgb="FFF0F4F8"/>
      </patternFill>
    </fill>
    <fill>
      <patternFill patternType="solid">
        <fgColor rgb="FFF8EEA2"/>
        <bgColor rgb="FFFFFF99"/>
      </patternFill>
    </fill>
    <fill>
      <patternFill patternType="solid">
        <fgColor rgb="FFF8EEA2"/>
        <bgColor rgb="FFF5F8FB"/>
      </patternFill>
    </fill>
    <fill>
      <patternFill patternType="solid">
        <fgColor theme="6" tint="0.79998168889431442"/>
        <bgColor rgb="FFF0F4F8"/>
      </patternFill>
    </fill>
    <fill>
      <patternFill patternType="solid">
        <fgColor theme="6" tint="0.79998168889431442"/>
        <bgColor rgb="FFF5F8FB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1A4A8A"/>
      </top>
      <bottom style="medium">
        <color rgb="FFFFFFFF"/>
      </bottom>
      <diagonal/>
    </border>
    <border>
      <left/>
      <right/>
      <top/>
      <bottom style="medium">
        <color rgb="FF1A4A8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4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vertical="center"/>
    </xf>
    <xf numFmtId="164" fontId="7" fillId="11" borderId="3" xfId="0" applyNumberFormat="1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vertical="center"/>
    </xf>
    <xf numFmtId="0" fontId="4" fillId="11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F5F8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2B55"/>
      <rgbColor rgb="FF339966"/>
      <rgbColor rgb="FF003300"/>
      <rgbColor rgb="FF555555"/>
      <rgbColor rgb="FF993300"/>
      <rgbColor rgb="FF993366"/>
      <rgbColor rgb="FF1A4A8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EEA2"/>
      <color rgb="FFFBF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0"/>
  <sheetViews>
    <sheetView tabSelected="1" zoomScaleNormal="100" workbookViewId="0">
      <pane ySplit="4" topLeftCell="A5" activePane="bottomLeft" state="frozen"/>
      <selection pane="bottomLeft" activeCell="G58" sqref="G58"/>
    </sheetView>
  </sheetViews>
  <sheetFormatPr baseColWidth="10" defaultColWidth="8.7109375" defaultRowHeight="15" customHeight="1" x14ac:dyDescent="0.25"/>
  <cols>
    <col min="1" max="1" width="14" customWidth="1"/>
    <col min="2" max="2" width="42" customWidth="1"/>
    <col min="3" max="3" width="26" customWidth="1"/>
    <col min="4" max="5" width="15" customWidth="1"/>
    <col min="6" max="6" width="13" customWidth="1"/>
    <col min="7" max="7" width="38" customWidth="1"/>
  </cols>
  <sheetData>
    <row r="1" spans="1:7" ht="31.5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18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6" customHeight="1" x14ac:dyDescent="0.25"/>
    <row r="4" spans="1:7" ht="30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spans="1:7" ht="15.75" customHeight="1" x14ac:dyDescent="0.25">
      <c r="A5" s="3" t="s">
        <v>9</v>
      </c>
      <c r="B5" s="3"/>
      <c r="C5" s="3"/>
      <c r="D5" s="3"/>
      <c r="E5" s="3"/>
      <c r="F5" s="3"/>
      <c r="G5" s="3"/>
    </row>
    <row r="6" spans="1:7" ht="16.5" customHeight="1" x14ac:dyDescent="0.25">
      <c r="A6" s="7" t="s">
        <v>10</v>
      </c>
      <c r="B6" s="23" t="s">
        <v>11</v>
      </c>
      <c r="C6" s="24" t="s">
        <v>12</v>
      </c>
      <c r="D6" s="8">
        <v>200</v>
      </c>
      <c r="E6" s="25"/>
      <c r="F6" s="27" t="str">
        <f t="shared" ref="F6:F21" si="0">IF(E6="","",E6-D6)</f>
        <v/>
      </c>
      <c r="G6" s="9"/>
    </row>
    <row r="7" spans="1:7" ht="16.5" customHeight="1" x14ac:dyDescent="0.25">
      <c r="A7" s="10" t="s">
        <v>13</v>
      </c>
      <c r="B7" s="21" t="s">
        <v>14</v>
      </c>
      <c r="C7" s="22" t="s">
        <v>12</v>
      </c>
      <c r="D7" s="8">
        <v>190</v>
      </c>
      <c r="E7" s="25"/>
      <c r="F7" s="27" t="str">
        <f t="shared" si="0"/>
        <v/>
      </c>
      <c r="G7" s="9"/>
    </row>
    <row r="8" spans="1:7" ht="16.5" customHeight="1" x14ac:dyDescent="0.25">
      <c r="A8" s="7" t="s">
        <v>15</v>
      </c>
      <c r="B8" s="23" t="s">
        <v>16</v>
      </c>
      <c r="C8" s="24" t="s">
        <v>12</v>
      </c>
      <c r="D8" s="8">
        <v>240</v>
      </c>
      <c r="E8" s="25"/>
      <c r="F8" s="27" t="str">
        <f t="shared" si="0"/>
        <v/>
      </c>
      <c r="G8" s="9"/>
    </row>
    <row r="9" spans="1:7" ht="16.5" customHeight="1" x14ac:dyDescent="0.25">
      <c r="A9" s="10" t="s">
        <v>17</v>
      </c>
      <c r="B9" s="21" t="s">
        <v>18</v>
      </c>
      <c r="C9" s="22" t="s">
        <v>12</v>
      </c>
      <c r="D9" s="8">
        <v>120</v>
      </c>
      <c r="E9" s="25"/>
      <c r="F9" s="27" t="str">
        <f t="shared" si="0"/>
        <v/>
      </c>
      <c r="G9" s="9"/>
    </row>
    <row r="10" spans="1:7" ht="16.5" customHeight="1" x14ac:dyDescent="0.25">
      <c r="A10" s="7" t="s">
        <v>19</v>
      </c>
      <c r="B10" s="23" t="s">
        <v>20</v>
      </c>
      <c r="C10" s="24" t="s">
        <v>12</v>
      </c>
      <c r="D10" s="8">
        <v>40</v>
      </c>
      <c r="E10" s="25"/>
      <c r="F10" s="27" t="str">
        <f t="shared" si="0"/>
        <v/>
      </c>
      <c r="G10" s="9"/>
    </row>
    <row r="11" spans="1:7" ht="16.5" customHeight="1" x14ac:dyDescent="0.25">
      <c r="A11" s="10" t="s">
        <v>21</v>
      </c>
      <c r="B11" s="21" t="s">
        <v>22</v>
      </c>
      <c r="C11" s="22" t="s">
        <v>12</v>
      </c>
      <c r="D11" s="8">
        <v>20</v>
      </c>
      <c r="E11" s="25"/>
      <c r="F11" s="27" t="str">
        <f t="shared" si="0"/>
        <v/>
      </c>
      <c r="G11" s="9"/>
    </row>
    <row r="12" spans="1:7" ht="16.5" customHeight="1" x14ac:dyDescent="0.25">
      <c r="A12" s="7" t="s">
        <v>23</v>
      </c>
      <c r="B12" s="23" t="s">
        <v>24</v>
      </c>
      <c r="C12" s="24" t="s">
        <v>12</v>
      </c>
      <c r="D12" s="8">
        <v>120</v>
      </c>
      <c r="E12" s="25"/>
      <c r="F12" s="27" t="str">
        <f t="shared" si="0"/>
        <v/>
      </c>
      <c r="G12" s="9"/>
    </row>
    <row r="13" spans="1:7" ht="16.5" customHeight="1" x14ac:dyDescent="0.25">
      <c r="A13" s="10" t="s">
        <v>25</v>
      </c>
      <c r="B13" s="21" t="s">
        <v>26</v>
      </c>
      <c r="C13" s="22" t="s">
        <v>12</v>
      </c>
      <c r="D13" s="8">
        <v>0</v>
      </c>
      <c r="E13" s="25"/>
      <c r="F13" s="27" t="str">
        <f t="shared" si="0"/>
        <v/>
      </c>
      <c r="G13" s="9"/>
    </row>
    <row r="14" spans="1:7" ht="16.5" customHeight="1" x14ac:dyDescent="0.25">
      <c r="A14" s="7" t="s">
        <v>27</v>
      </c>
      <c r="B14" s="23" t="s">
        <v>28</v>
      </c>
      <c r="C14" s="24" t="s">
        <v>12</v>
      </c>
      <c r="D14" s="8">
        <v>5</v>
      </c>
      <c r="E14" s="25"/>
      <c r="F14" s="27" t="str">
        <f t="shared" si="0"/>
        <v/>
      </c>
      <c r="G14" s="9"/>
    </row>
    <row r="15" spans="1:7" ht="16.5" customHeight="1" x14ac:dyDescent="0.25">
      <c r="A15" s="10" t="s">
        <v>29</v>
      </c>
      <c r="B15" s="21" t="s">
        <v>30</v>
      </c>
      <c r="C15" s="22" t="s">
        <v>12</v>
      </c>
      <c r="D15" s="8">
        <v>130</v>
      </c>
      <c r="E15" s="25"/>
      <c r="F15" s="27" t="str">
        <f t="shared" si="0"/>
        <v/>
      </c>
      <c r="G15" s="9"/>
    </row>
    <row r="16" spans="1:7" ht="16.5" customHeight="1" x14ac:dyDescent="0.25">
      <c r="A16" s="7" t="s">
        <v>31</v>
      </c>
      <c r="B16" s="23" t="s">
        <v>32</v>
      </c>
      <c r="C16" s="24" t="s">
        <v>12</v>
      </c>
      <c r="D16" s="8">
        <v>150</v>
      </c>
      <c r="E16" s="25"/>
      <c r="F16" s="27" t="str">
        <f t="shared" si="0"/>
        <v/>
      </c>
      <c r="G16" s="9"/>
    </row>
    <row r="17" spans="1:7" ht="16.5" customHeight="1" x14ac:dyDescent="0.25">
      <c r="A17" s="10" t="s">
        <v>33</v>
      </c>
      <c r="B17" s="21" t="s">
        <v>34</v>
      </c>
      <c r="C17" s="22" t="s">
        <v>12</v>
      </c>
      <c r="D17" s="8">
        <v>35</v>
      </c>
      <c r="E17" s="25"/>
      <c r="F17" s="27" t="str">
        <f t="shared" si="0"/>
        <v/>
      </c>
      <c r="G17" s="9"/>
    </row>
    <row r="18" spans="1:7" ht="16.5" customHeight="1" x14ac:dyDescent="0.25">
      <c r="A18" s="7" t="s">
        <v>35</v>
      </c>
      <c r="B18" s="23" t="s">
        <v>36</v>
      </c>
      <c r="C18" s="24" t="s">
        <v>12</v>
      </c>
      <c r="D18" s="8">
        <v>37</v>
      </c>
      <c r="E18" s="25"/>
      <c r="F18" s="27" t="str">
        <f t="shared" si="0"/>
        <v/>
      </c>
      <c r="G18" s="9"/>
    </row>
    <row r="19" spans="1:7" ht="16.5" customHeight="1" x14ac:dyDescent="0.25">
      <c r="A19" s="10" t="s">
        <v>37</v>
      </c>
      <c r="B19" s="21" t="s">
        <v>38</v>
      </c>
      <c r="C19" s="22" t="s">
        <v>12</v>
      </c>
      <c r="D19" s="8">
        <v>28</v>
      </c>
      <c r="E19" s="25"/>
      <c r="F19" s="27" t="str">
        <f t="shared" si="0"/>
        <v/>
      </c>
      <c r="G19" s="9"/>
    </row>
    <row r="20" spans="1:7" ht="16.5" customHeight="1" x14ac:dyDescent="0.25">
      <c r="A20" s="7" t="s">
        <v>39</v>
      </c>
      <c r="B20" s="23" t="s">
        <v>40</v>
      </c>
      <c r="C20" s="24" t="s">
        <v>12</v>
      </c>
      <c r="D20" s="8">
        <v>77</v>
      </c>
      <c r="E20" s="25"/>
      <c r="F20" s="27" t="str">
        <f t="shared" si="0"/>
        <v/>
      </c>
      <c r="G20" s="9"/>
    </row>
    <row r="21" spans="1:7" ht="16.5" customHeight="1" x14ac:dyDescent="0.25">
      <c r="A21" s="17" t="s">
        <v>41</v>
      </c>
      <c r="B21" s="19" t="s">
        <v>42</v>
      </c>
      <c r="C21" s="19" t="s">
        <v>12</v>
      </c>
      <c r="D21" s="18">
        <v>15</v>
      </c>
      <c r="E21" s="26"/>
      <c r="F21" s="28" t="str">
        <f t="shared" si="0"/>
        <v/>
      </c>
      <c r="G21" s="17"/>
    </row>
    <row r="22" spans="1:7" ht="15.75" customHeight="1" x14ac:dyDescent="0.25">
      <c r="A22" s="3" t="s">
        <v>43</v>
      </c>
      <c r="B22" s="3"/>
      <c r="C22" s="3"/>
      <c r="D22" s="3"/>
      <c r="E22" s="3"/>
      <c r="F22" s="3"/>
      <c r="G22" s="3"/>
    </row>
    <row r="23" spans="1:7" ht="16.5" customHeight="1" x14ac:dyDescent="0.25">
      <c r="A23" s="7" t="s">
        <v>44</v>
      </c>
      <c r="B23" s="23" t="s">
        <v>45</v>
      </c>
      <c r="C23" s="24" t="s">
        <v>46</v>
      </c>
      <c r="D23" s="8">
        <v>100</v>
      </c>
      <c r="E23" s="25"/>
      <c r="F23" s="27" t="str">
        <f>IF(E23="","",E23-D23)</f>
        <v/>
      </c>
      <c r="G23" s="9"/>
    </row>
    <row r="24" spans="1:7" ht="16.5" customHeight="1" x14ac:dyDescent="0.25">
      <c r="A24" s="10" t="s">
        <v>47</v>
      </c>
      <c r="B24" s="21" t="s">
        <v>48</v>
      </c>
      <c r="C24" s="22" t="s">
        <v>46</v>
      </c>
      <c r="D24" s="8">
        <v>200</v>
      </c>
      <c r="E24" s="25"/>
      <c r="F24" s="27" t="str">
        <f>IF(E24="","",E24-D24)</f>
        <v/>
      </c>
      <c r="G24" s="9"/>
    </row>
    <row r="25" spans="1:7" ht="16.5" customHeight="1" x14ac:dyDescent="0.25">
      <c r="A25" s="14" t="s">
        <v>49</v>
      </c>
      <c r="B25" s="20" t="s">
        <v>50</v>
      </c>
      <c r="C25" s="20" t="s">
        <v>46</v>
      </c>
      <c r="D25" s="15">
        <v>100</v>
      </c>
      <c r="E25" s="16"/>
      <c r="F25" s="29" t="str">
        <f>IF(E25="","",E25-D25)</f>
        <v/>
      </c>
      <c r="G25" s="14"/>
    </row>
    <row r="26" spans="1:7" ht="16.5" customHeight="1" x14ac:dyDescent="0.25">
      <c r="A26" s="10" t="s">
        <v>51</v>
      </c>
      <c r="B26" s="21" t="s">
        <v>52</v>
      </c>
      <c r="C26" s="22" t="s">
        <v>46</v>
      </c>
      <c r="D26" s="8">
        <v>300</v>
      </c>
      <c r="E26" s="25"/>
      <c r="F26" s="27" t="str">
        <f>IF(E26="","",E26-D26)</f>
        <v/>
      </c>
      <c r="G26" s="9"/>
    </row>
    <row r="27" spans="1:7" ht="15.75" customHeight="1" x14ac:dyDescent="0.25">
      <c r="A27" s="3" t="s">
        <v>53</v>
      </c>
      <c r="B27" s="3"/>
      <c r="C27" s="3"/>
      <c r="D27" s="3"/>
      <c r="E27" s="3"/>
      <c r="F27" s="3"/>
      <c r="G27" s="3"/>
    </row>
    <row r="28" spans="1:7" ht="16.5" customHeight="1" x14ac:dyDescent="0.25">
      <c r="A28" s="7" t="s">
        <v>54</v>
      </c>
      <c r="B28" s="23" t="s">
        <v>55</v>
      </c>
      <c r="C28" s="24" t="s">
        <v>56</v>
      </c>
      <c r="D28" s="8">
        <v>2695</v>
      </c>
      <c r="E28" s="25"/>
      <c r="F28" s="27" t="str">
        <f>IF(E28="","",E28-D28)</f>
        <v/>
      </c>
      <c r="G28" s="9"/>
    </row>
    <row r="29" spans="1:7" ht="16.5" customHeight="1" x14ac:dyDescent="0.25">
      <c r="A29" s="10" t="s">
        <v>57</v>
      </c>
      <c r="B29" s="21" t="s">
        <v>58</v>
      </c>
      <c r="C29" s="22" t="s">
        <v>56</v>
      </c>
      <c r="D29" s="8">
        <v>2040</v>
      </c>
      <c r="E29" s="25"/>
      <c r="F29" s="27" t="str">
        <f t="shared" ref="F28:F43" si="1">IF(E29="","",E29-D29)</f>
        <v/>
      </c>
      <c r="G29" s="9"/>
    </row>
    <row r="30" spans="1:7" ht="16.5" customHeight="1" x14ac:dyDescent="0.25">
      <c r="A30" s="7" t="s">
        <v>59</v>
      </c>
      <c r="B30" s="23" t="s">
        <v>60</v>
      </c>
      <c r="C30" s="24" t="s">
        <v>56</v>
      </c>
      <c r="D30" s="8">
        <v>1880</v>
      </c>
      <c r="E30" s="25"/>
      <c r="F30" s="27" t="str">
        <f t="shared" si="1"/>
        <v/>
      </c>
      <c r="G30" s="9"/>
    </row>
    <row r="31" spans="1:7" ht="16.5" customHeight="1" x14ac:dyDescent="0.25">
      <c r="A31" s="10" t="s">
        <v>61</v>
      </c>
      <c r="B31" s="21" t="s">
        <v>62</v>
      </c>
      <c r="C31" s="22" t="s">
        <v>56</v>
      </c>
      <c r="D31" s="8">
        <v>950</v>
      </c>
      <c r="E31" s="25"/>
      <c r="F31" s="27" t="str">
        <f t="shared" si="1"/>
        <v/>
      </c>
      <c r="G31" s="9"/>
    </row>
    <row r="32" spans="1:7" ht="16.5" customHeight="1" x14ac:dyDescent="0.25">
      <c r="A32" s="7" t="s">
        <v>63</v>
      </c>
      <c r="B32" s="23" t="s">
        <v>64</v>
      </c>
      <c r="C32" s="24" t="s">
        <v>56</v>
      </c>
      <c r="D32" s="8">
        <v>890</v>
      </c>
      <c r="E32" s="25"/>
      <c r="F32" s="27" t="str">
        <f t="shared" si="1"/>
        <v/>
      </c>
      <c r="G32" s="9"/>
    </row>
    <row r="33" spans="1:7" ht="16.5" customHeight="1" x14ac:dyDescent="0.25">
      <c r="A33" s="10" t="s">
        <v>65</v>
      </c>
      <c r="B33" s="21" t="s">
        <v>66</v>
      </c>
      <c r="C33" s="22" t="s">
        <v>56</v>
      </c>
      <c r="D33" s="8">
        <v>460</v>
      </c>
      <c r="E33" s="25"/>
      <c r="F33" s="27" t="str">
        <f t="shared" si="1"/>
        <v/>
      </c>
      <c r="G33" s="9"/>
    </row>
    <row r="34" spans="1:7" ht="16.5" customHeight="1" x14ac:dyDescent="0.25">
      <c r="A34" s="7" t="s">
        <v>67</v>
      </c>
      <c r="B34" s="23" t="s">
        <v>68</v>
      </c>
      <c r="C34" s="24" t="s">
        <v>56</v>
      </c>
      <c r="D34" s="8">
        <v>320</v>
      </c>
      <c r="E34" s="25"/>
      <c r="F34" s="27" t="str">
        <f t="shared" si="1"/>
        <v/>
      </c>
      <c r="G34" s="9"/>
    </row>
    <row r="35" spans="1:7" ht="16.5" customHeight="1" x14ac:dyDescent="0.25">
      <c r="A35" s="10" t="s">
        <v>69</v>
      </c>
      <c r="B35" s="21" t="s">
        <v>70</v>
      </c>
      <c r="C35" s="22" t="s">
        <v>56</v>
      </c>
      <c r="D35" s="8">
        <v>500</v>
      </c>
      <c r="E35" s="25"/>
      <c r="F35" s="27" t="str">
        <f t="shared" si="1"/>
        <v/>
      </c>
      <c r="G35" s="9"/>
    </row>
    <row r="36" spans="1:7" ht="16.5" customHeight="1" x14ac:dyDescent="0.25">
      <c r="A36" s="7" t="s">
        <v>71</v>
      </c>
      <c r="B36" s="23" t="s">
        <v>72</v>
      </c>
      <c r="C36" s="24" t="s">
        <v>56</v>
      </c>
      <c r="D36" s="8">
        <v>330</v>
      </c>
      <c r="E36" s="25"/>
      <c r="F36" s="27" t="str">
        <f t="shared" si="1"/>
        <v/>
      </c>
      <c r="G36" s="9"/>
    </row>
    <row r="37" spans="1:7" ht="16.5" customHeight="1" x14ac:dyDescent="0.25">
      <c r="A37" s="10" t="s">
        <v>73</v>
      </c>
      <c r="B37" s="21" t="s">
        <v>74</v>
      </c>
      <c r="C37" s="22" t="s">
        <v>56</v>
      </c>
      <c r="D37" s="8">
        <v>380</v>
      </c>
      <c r="E37" s="25"/>
      <c r="F37" s="27" t="str">
        <f t="shared" si="1"/>
        <v/>
      </c>
      <c r="G37" s="9"/>
    </row>
    <row r="38" spans="1:7" ht="16.5" customHeight="1" x14ac:dyDescent="0.25">
      <c r="A38" s="7" t="s">
        <v>75</v>
      </c>
      <c r="B38" s="23" t="s">
        <v>76</v>
      </c>
      <c r="C38" s="24" t="s">
        <v>56</v>
      </c>
      <c r="D38" s="8">
        <v>140</v>
      </c>
      <c r="E38" s="25"/>
      <c r="F38" s="27" t="str">
        <f t="shared" si="1"/>
        <v/>
      </c>
      <c r="G38" s="9"/>
    </row>
    <row r="39" spans="1:7" ht="16.5" customHeight="1" x14ac:dyDescent="0.25">
      <c r="A39" s="10" t="s">
        <v>77</v>
      </c>
      <c r="B39" s="21" t="s">
        <v>78</v>
      </c>
      <c r="C39" s="22" t="s">
        <v>56</v>
      </c>
      <c r="D39" s="8">
        <v>190</v>
      </c>
      <c r="E39" s="25"/>
      <c r="F39" s="27" t="str">
        <f t="shared" si="1"/>
        <v/>
      </c>
      <c r="G39" s="9"/>
    </row>
    <row r="40" spans="1:7" ht="16.5" customHeight="1" x14ac:dyDescent="0.25">
      <c r="A40" s="7" t="s">
        <v>79</v>
      </c>
      <c r="B40" s="23" t="s">
        <v>80</v>
      </c>
      <c r="C40" s="24" t="s">
        <v>56</v>
      </c>
      <c r="D40" s="8">
        <v>190</v>
      </c>
      <c r="E40" s="25"/>
      <c r="F40" s="27" t="str">
        <f t="shared" si="1"/>
        <v/>
      </c>
      <c r="G40" s="9"/>
    </row>
    <row r="41" spans="1:7" ht="16.5" customHeight="1" x14ac:dyDescent="0.25">
      <c r="A41" s="17" t="s">
        <v>81</v>
      </c>
      <c r="B41" s="19" t="s">
        <v>82</v>
      </c>
      <c r="C41" s="19" t="s">
        <v>56</v>
      </c>
      <c r="D41" s="18">
        <v>200</v>
      </c>
      <c r="E41" s="26"/>
      <c r="F41" s="28" t="str">
        <f t="shared" si="1"/>
        <v/>
      </c>
      <c r="G41" s="17"/>
    </row>
    <row r="42" spans="1:7" ht="16.5" customHeight="1" x14ac:dyDescent="0.25">
      <c r="A42" s="7" t="s">
        <v>83</v>
      </c>
      <c r="B42" s="23" t="s">
        <v>84</v>
      </c>
      <c r="C42" s="24" t="s">
        <v>56</v>
      </c>
      <c r="D42" s="8">
        <v>180</v>
      </c>
      <c r="E42" s="25"/>
      <c r="F42" s="27" t="str">
        <f t="shared" si="1"/>
        <v/>
      </c>
      <c r="G42" s="9"/>
    </row>
    <row r="43" spans="1:7" ht="16.5" customHeight="1" x14ac:dyDescent="0.25">
      <c r="A43" s="10" t="s">
        <v>85</v>
      </c>
      <c r="B43" s="21" t="s">
        <v>86</v>
      </c>
      <c r="C43" s="22" t="s">
        <v>56</v>
      </c>
      <c r="D43" s="8">
        <v>200</v>
      </c>
      <c r="E43" s="25"/>
      <c r="F43" s="27" t="str">
        <f t="shared" si="1"/>
        <v/>
      </c>
      <c r="G43" s="9"/>
    </row>
    <row r="44" spans="1:7" ht="15.75" customHeight="1" x14ac:dyDescent="0.25">
      <c r="A44" s="3" t="s">
        <v>87</v>
      </c>
      <c r="B44" s="3"/>
      <c r="C44" s="3"/>
      <c r="D44" s="3"/>
      <c r="E44" s="3"/>
      <c r="F44" s="3"/>
      <c r="G44" s="3"/>
    </row>
    <row r="45" spans="1:7" ht="16.5" customHeight="1" x14ac:dyDescent="0.25">
      <c r="A45" s="7" t="s">
        <v>88</v>
      </c>
      <c r="B45" s="23" t="s">
        <v>89</v>
      </c>
      <c r="C45" s="24" t="s">
        <v>90</v>
      </c>
      <c r="D45" s="8">
        <v>200</v>
      </c>
      <c r="E45" s="25"/>
      <c r="F45" s="27" t="str">
        <f>IF(E45="","",E45-D45)</f>
        <v/>
      </c>
      <c r="G45" s="9"/>
    </row>
    <row r="46" spans="1:7" ht="16.5" customHeight="1" x14ac:dyDescent="0.25">
      <c r="A46" s="17" t="s">
        <v>91</v>
      </c>
      <c r="B46" s="19" t="s">
        <v>92</v>
      </c>
      <c r="C46" s="19" t="s">
        <v>90</v>
      </c>
      <c r="D46" s="18">
        <v>155</v>
      </c>
      <c r="E46" s="26"/>
      <c r="F46" s="28" t="str">
        <f>IF(E46="","",E46-D46)</f>
        <v/>
      </c>
      <c r="G46" s="17"/>
    </row>
    <row r="47" spans="1:7" ht="16.5" customHeight="1" x14ac:dyDescent="0.25">
      <c r="A47" s="7" t="s">
        <v>93</v>
      </c>
      <c r="B47" s="23" t="s">
        <v>94</v>
      </c>
      <c r="C47" s="24" t="s">
        <v>90</v>
      </c>
      <c r="D47" s="8">
        <v>190</v>
      </c>
      <c r="E47" s="25"/>
      <c r="F47" s="27" t="str">
        <f>IF(E47="","",E47-D47)</f>
        <v/>
      </c>
      <c r="G47" s="9"/>
    </row>
    <row r="48" spans="1:7" ht="15.75" customHeight="1" x14ac:dyDescent="0.25">
      <c r="A48" s="3" t="s">
        <v>95</v>
      </c>
      <c r="B48" s="3"/>
      <c r="C48" s="3"/>
      <c r="D48" s="3"/>
      <c r="E48" s="3"/>
      <c r="F48" s="3"/>
      <c r="G48" s="3"/>
    </row>
    <row r="49" spans="1:7" ht="16.5" customHeight="1" x14ac:dyDescent="0.25">
      <c r="A49" s="10" t="s">
        <v>96</v>
      </c>
      <c r="B49" s="21" t="s">
        <v>97</v>
      </c>
      <c r="C49" s="22" t="s">
        <v>98</v>
      </c>
      <c r="D49" s="8">
        <v>216</v>
      </c>
      <c r="E49" s="25"/>
      <c r="F49" s="27" t="str">
        <f>IF(E49="","",E49-D49)</f>
        <v/>
      </c>
      <c r="G49" s="9"/>
    </row>
    <row r="50" spans="1:7" ht="16.5" customHeight="1" x14ac:dyDescent="0.25">
      <c r="A50" s="7" t="s">
        <v>99</v>
      </c>
      <c r="B50" s="23" t="s">
        <v>100</v>
      </c>
      <c r="C50" s="24" t="s">
        <v>98</v>
      </c>
      <c r="D50" s="8">
        <v>318</v>
      </c>
      <c r="E50" s="25"/>
      <c r="F50" s="27" t="str">
        <f>IF(E50="","",E50-D50)</f>
        <v/>
      </c>
      <c r="G50" s="9"/>
    </row>
    <row r="51" spans="1:7" ht="15.75" customHeight="1" x14ac:dyDescent="0.25">
      <c r="A51" s="3" t="s">
        <v>101</v>
      </c>
      <c r="B51" s="3"/>
      <c r="C51" s="3"/>
      <c r="D51" s="3"/>
      <c r="E51" s="3"/>
      <c r="F51" s="3"/>
      <c r="G51" s="3"/>
    </row>
    <row r="52" spans="1:7" ht="16.5" customHeight="1" x14ac:dyDescent="0.25">
      <c r="A52" s="10" t="s">
        <v>102</v>
      </c>
      <c r="B52" s="21" t="s">
        <v>103</v>
      </c>
      <c r="C52" s="22" t="s">
        <v>104</v>
      </c>
      <c r="D52" s="8">
        <v>60</v>
      </c>
      <c r="E52" s="25"/>
      <c r="F52" s="27" t="str">
        <f t="shared" ref="F52:F63" si="2">IF(E52="","",E52-D52)</f>
        <v/>
      </c>
      <c r="G52" s="9"/>
    </row>
    <row r="53" spans="1:7" ht="16.5" customHeight="1" x14ac:dyDescent="0.25">
      <c r="A53" s="7" t="s">
        <v>105</v>
      </c>
      <c r="B53" s="23" t="s">
        <v>106</v>
      </c>
      <c r="C53" s="24" t="s">
        <v>104</v>
      </c>
      <c r="D53" s="8">
        <v>30</v>
      </c>
      <c r="E53" s="25"/>
      <c r="F53" s="27" t="str">
        <f t="shared" si="2"/>
        <v/>
      </c>
      <c r="G53" s="9"/>
    </row>
    <row r="54" spans="1:7" ht="16.5" customHeight="1" x14ac:dyDescent="0.25">
      <c r="A54" s="10" t="s">
        <v>107</v>
      </c>
      <c r="B54" s="21" t="s">
        <v>108</v>
      </c>
      <c r="C54" s="22" t="s">
        <v>104</v>
      </c>
      <c r="D54" s="8">
        <v>80</v>
      </c>
      <c r="E54" s="25"/>
      <c r="F54" s="27" t="str">
        <f t="shared" si="2"/>
        <v/>
      </c>
      <c r="G54" s="9"/>
    </row>
    <row r="55" spans="1:7" ht="16.5" customHeight="1" x14ac:dyDescent="0.25">
      <c r="A55" s="7" t="s">
        <v>109</v>
      </c>
      <c r="B55" s="23" t="s">
        <v>110</v>
      </c>
      <c r="C55" s="24" t="s">
        <v>104</v>
      </c>
      <c r="D55" s="8">
        <v>30</v>
      </c>
      <c r="E55" s="25"/>
      <c r="F55" s="27" t="str">
        <f t="shared" si="2"/>
        <v/>
      </c>
      <c r="G55" s="9"/>
    </row>
    <row r="56" spans="1:7" ht="16.5" customHeight="1" x14ac:dyDescent="0.25">
      <c r="A56" s="10" t="s">
        <v>111</v>
      </c>
      <c r="B56" s="21" t="s">
        <v>112</v>
      </c>
      <c r="C56" s="22" t="s">
        <v>104</v>
      </c>
      <c r="D56" s="8">
        <v>75</v>
      </c>
      <c r="E56" s="25"/>
      <c r="F56" s="27" t="str">
        <f t="shared" si="2"/>
        <v/>
      </c>
      <c r="G56" s="9"/>
    </row>
    <row r="57" spans="1:7" ht="16.5" customHeight="1" x14ac:dyDescent="0.25">
      <c r="A57" s="7" t="s">
        <v>113</v>
      </c>
      <c r="B57" s="23" t="s">
        <v>114</v>
      </c>
      <c r="C57" s="24" t="s">
        <v>104</v>
      </c>
      <c r="D57" s="8">
        <v>35</v>
      </c>
      <c r="E57" s="25"/>
      <c r="F57" s="27" t="str">
        <f t="shared" si="2"/>
        <v/>
      </c>
      <c r="G57" s="9"/>
    </row>
    <row r="58" spans="1:7" ht="16.5" customHeight="1" x14ac:dyDescent="0.25">
      <c r="A58" s="17" t="s">
        <v>115</v>
      </c>
      <c r="B58" s="19" t="s">
        <v>116</v>
      </c>
      <c r="C58" s="19" t="s">
        <v>104</v>
      </c>
      <c r="D58" s="18">
        <v>85</v>
      </c>
      <c r="E58" s="26"/>
      <c r="F58" s="28" t="str">
        <f t="shared" si="2"/>
        <v/>
      </c>
      <c r="G58" s="17"/>
    </row>
    <row r="59" spans="1:7" ht="16.5" customHeight="1" x14ac:dyDescent="0.25">
      <c r="A59" s="7" t="s">
        <v>117</v>
      </c>
      <c r="B59" s="23" t="s">
        <v>118</v>
      </c>
      <c r="C59" s="24" t="s">
        <v>104</v>
      </c>
      <c r="D59" s="8">
        <v>50</v>
      </c>
      <c r="E59" s="25"/>
      <c r="F59" s="27" t="str">
        <f t="shared" si="2"/>
        <v/>
      </c>
      <c r="G59" s="9"/>
    </row>
    <row r="60" spans="1:7" ht="16.5" customHeight="1" x14ac:dyDescent="0.25">
      <c r="A60" s="10" t="s">
        <v>119</v>
      </c>
      <c r="B60" s="21" t="s">
        <v>120</v>
      </c>
      <c r="C60" s="22" t="s">
        <v>104</v>
      </c>
      <c r="D60" s="8">
        <v>60</v>
      </c>
      <c r="E60" s="25"/>
      <c r="F60" s="27" t="str">
        <f t="shared" si="2"/>
        <v/>
      </c>
      <c r="G60" s="9"/>
    </row>
    <row r="61" spans="1:7" ht="16.5" customHeight="1" x14ac:dyDescent="0.25">
      <c r="A61" s="7" t="s">
        <v>121</v>
      </c>
      <c r="B61" s="23" t="s">
        <v>122</v>
      </c>
      <c r="C61" s="24" t="s">
        <v>104</v>
      </c>
      <c r="D61" s="8">
        <v>75</v>
      </c>
      <c r="E61" s="25"/>
      <c r="F61" s="27" t="str">
        <f t="shared" si="2"/>
        <v/>
      </c>
      <c r="G61" s="9"/>
    </row>
    <row r="62" spans="1:7" ht="16.5" customHeight="1" x14ac:dyDescent="0.25">
      <c r="A62" s="10" t="s">
        <v>123</v>
      </c>
      <c r="B62" s="21" t="s">
        <v>124</v>
      </c>
      <c r="C62" s="22" t="s">
        <v>104</v>
      </c>
      <c r="D62" s="8">
        <v>86</v>
      </c>
      <c r="E62" s="25"/>
      <c r="F62" s="27" t="str">
        <f t="shared" si="2"/>
        <v/>
      </c>
      <c r="G62" s="9"/>
    </row>
    <row r="63" spans="1:7" ht="16.5" customHeight="1" x14ac:dyDescent="0.25">
      <c r="A63" s="7" t="s">
        <v>125</v>
      </c>
      <c r="B63" s="23" t="s">
        <v>126</v>
      </c>
      <c r="C63" s="24" t="s">
        <v>104</v>
      </c>
      <c r="D63" s="8">
        <v>56</v>
      </c>
      <c r="E63" s="25"/>
      <c r="F63" s="27" t="str">
        <f t="shared" si="2"/>
        <v/>
      </c>
      <c r="G63" s="9"/>
    </row>
    <row r="64" spans="1:7" ht="15.75" customHeight="1" x14ac:dyDescent="0.25">
      <c r="A64" s="3" t="s">
        <v>127</v>
      </c>
      <c r="B64" s="3"/>
      <c r="C64" s="3"/>
      <c r="D64" s="3"/>
      <c r="E64" s="3"/>
      <c r="F64" s="3"/>
      <c r="G64" s="3"/>
    </row>
    <row r="65" spans="1:7" ht="16.5" customHeight="1" x14ac:dyDescent="0.25">
      <c r="A65" s="10" t="s">
        <v>128</v>
      </c>
      <c r="B65" s="21" t="s">
        <v>129</v>
      </c>
      <c r="C65" s="22" t="s">
        <v>130</v>
      </c>
      <c r="D65" s="8">
        <v>5</v>
      </c>
      <c r="E65" s="25"/>
      <c r="F65" s="27" t="str">
        <f>IF(E65="","",E65-D65)</f>
        <v/>
      </c>
      <c r="G65" s="9"/>
    </row>
    <row r="66" spans="1:7" ht="16.5" customHeight="1" x14ac:dyDescent="0.25">
      <c r="A66" s="7" t="s">
        <v>131</v>
      </c>
      <c r="B66" s="23" t="s">
        <v>132</v>
      </c>
      <c r="C66" s="24" t="s">
        <v>130</v>
      </c>
      <c r="D66" s="8">
        <v>5</v>
      </c>
      <c r="E66" s="25"/>
      <c r="F66" s="27" t="str">
        <f>IF(E66="","",E66-D66)</f>
        <v/>
      </c>
      <c r="G66" s="9"/>
    </row>
    <row r="67" spans="1:7" ht="16.5" customHeight="1" x14ac:dyDescent="0.25">
      <c r="A67" s="10" t="s">
        <v>133</v>
      </c>
      <c r="B67" s="21" t="s">
        <v>134</v>
      </c>
      <c r="C67" s="22" t="s">
        <v>130</v>
      </c>
      <c r="D67" s="8">
        <v>1</v>
      </c>
      <c r="E67" s="25"/>
      <c r="F67" s="27" t="str">
        <f>IF(E67="","",E67-D67)</f>
        <v/>
      </c>
      <c r="G67" s="9"/>
    </row>
    <row r="68" spans="1:7" ht="19.5" customHeight="1" x14ac:dyDescent="0.25">
      <c r="A68" s="2" t="s">
        <v>135</v>
      </c>
      <c r="B68" s="2"/>
      <c r="C68" s="2"/>
      <c r="D68" s="11">
        <f>SUM(D5:D67)</f>
        <v>15464</v>
      </c>
      <c r="E68" s="11" t="str">
        <f>IF(COUNTA(E5:E67)=0,"",SUM(E5:E67))</f>
        <v/>
      </c>
      <c r="F68" s="12" t="str">
        <f>IF(E68="","",E68-D68)</f>
        <v/>
      </c>
      <c r="G68" s="13"/>
    </row>
    <row r="70" spans="1:7" ht="27.75" customHeight="1" x14ac:dyDescent="0.25">
      <c r="A70" s="1" t="s">
        <v>136</v>
      </c>
      <c r="B70" s="1"/>
      <c r="C70" s="1"/>
      <c r="D70" s="1"/>
      <c r="E70" s="1"/>
      <c r="F70" s="1"/>
      <c r="G70" s="1"/>
    </row>
  </sheetData>
  <mergeCells count="11">
    <mergeCell ref="A70:G70"/>
    <mergeCell ref="A48:G48"/>
    <mergeCell ref="A51:G51"/>
    <mergeCell ref="A64:G64"/>
    <mergeCell ref="A68:C68"/>
    <mergeCell ref="A27:G27"/>
    <mergeCell ref="A44:G44"/>
    <mergeCell ref="A1:G1"/>
    <mergeCell ref="A2:G2"/>
    <mergeCell ref="A5:G5"/>
    <mergeCell ref="A22:G2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Conteo Físico</vt:lpstr>
      <vt:lpstr>'Conteo Físico'!Títulos_a_imprimir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Jorge Lacruz</cp:lastModifiedBy>
  <cp:revision>0</cp:revision>
  <dcterms:created xsi:type="dcterms:W3CDTF">2026-03-08T19:44:21Z</dcterms:created>
  <dcterms:modified xsi:type="dcterms:W3CDTF">2026-03-08T19:54:02Z</dcterms:modified>
  <dc:language>en-US</dc:language>
</cp:coreProperties>
</file>